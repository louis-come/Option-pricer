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awane/Downloads/EMLYON/MSQF/Option Pricing /Option pricer/"/>
    </mc:Choice>
  </mc:AlternateContent>
  <xr:revisionPtr revIDLastSave="0" documentId="13_ncr:1_{1B06E2B9-5115-2545-8F48-C46D82CD4BB2}" xr6:coauthVersionLast="36" xr6:coauthVersionMax="36" xr10:uidLastSave="{00000000-0000-0000-0000-000000000000}"/>
  <bookViews>
    <workbookView xWindow="0" yWindow="460" windowWidth="28800" windowHeight="15500" activeTab="2" xr2:uid="{3D2A184C-3FFA-3043-8477-FD616EA6447E}"/>
  </bookViews>
  <sheets>
    <sheet name="CRR PRICER" sheetId="1" r:id="rId1"/>
    <sheet name="CRR TREE" sheetId="4" r:id="rId2"/>
    <sheet name="BSM PRICER" sheetId="6" r:id="rId3"/>
    <sheet name="CONVERGENCE" sheetId="7" r:id="rId4"/>
  </sheets>
  <functionGroups builtInGroupCount="19"/>
  <definedNames>
    <definedName name="Call_Put">'CRR PRICER'!$M$4:$M$5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7" l="1"/>
  <c r="H22" i="7"/>
  <c r="H23" i="7" s="1"/>
  <c r="H24" i="7" s="1"/>
  <c r="H25" i="7" s="1"/>
  <c r="H26" i="7" s="1"/>
  <c r="H27" i="7" s="1"/>
  <c r="H20" i="7"/>
  <c r="H16" i="7"/>
  <c r="H17" i="7" s="1"/>
  <c r="H18" i="7" s="1"/>
  <c r="H19" i="7" s="1"/>
  <c r="H15" i="7"/>
  <c r="H9" i="7" l="1"/>
  <c r="H10" i="7" s="1"/>
  <c r="H11" i="7" s="1"/>
  <c r="H12" i="7" s="1"/>
  <c r="H13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3" authorId="0" shapeId="0" xr:uid="{DB845A87-52F0-D24B-86F9-8926498863F9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4" authorId="0" shapeId="0" xr:uid="{589508AE-FFAC-6344-A5D3-62C7BD26CE91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13" authorId="0" shapeId="0" xr:uid="{F5D1E329-8CB3-B14E-87E8-A7BDF12AC09D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4" authorId="0" shapeId="0" xr:uid="{BEA46C33-BAB7-5449-B222-257A9360D538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D9" authorId="0" shapeId="0" xr:uid="{E4D3D37C-BDEB-7840-8682-75991ED28C8F}">
      <text>
        <r>
          <rPr>
            <b/>
            <sz val="10"/>
            <color rgb="FF000000"/>
            <rFont val="Tahoma"/>
            <family val="2"/>
          </rPr>
          <t xml:space="preserve">SELECT AN INPUT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D10" authorId="0" shapeId="0" xr:uid="{E8223B96-EBEB-814A-8C2A-B7C98C27EFAA}">
      <text>
        <r>
          <rPr>
            <b/>
            <sz val="10"/>
            <color rgb="FF000000"/>
            <rFont val="Tahoma"/>
            <family val="34"/>
          </rPr>
          <t>SELECT AN INPUT</t>
        </r>
        <r>
          <rPr>
            <sz val="10"/>
            <color rgb="FF000000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<sst xmlns="http://schemas.openxmlformats.org/spreadsheetml/2006/main" count="66" uniqueCount="35">
  <si>
    <t xml:space="preserve">Spot Price </t>
  </si>
  <si>
    <t>Strike  Price</t>
  </si>
  <si>
    <t>Expiry Date</t>
  </si>
  <si>
    <t>Time to maturity</t>
  </si>
  <si>
    <t>Volatiliy</t>
  </si>
  <si>
    <t>Risk free rate</t>
  </si>
  <si>
    <t>Call/Put</t>
  </si>
  <si>
    <t>European/American</t>
  </si>
  <si>
    <t xml:space="preserve">Number of Step </t>
  </si>
  <si>
    <t>Call</t>
  </si>
  <si>
    <t>Put</t>
  </si>
  <si>
    <t xml:space="preserve">European </t>
  </si>
  <si>
    <t>American</t>
  </si>
  <si>
    <t>Upside</t>
  </si>
  <si>
    <t>Downside</t>
  </si>
  <si>
    <t>Risk Neutral Probability</t>
  </si>
  <si>
    <t>INPUTS</t>
  </si>
  <si>
    <t>OUTPUTS</t>
  </si>
  <si>
    <t>GENERATED INPUTS</t>
  </si>
  <si>
    <t>Put price</t>
  </si>
  <si>
    <t>Call price</t>
  </si>
  <si>
    <t>Product</t>
  </si>
  <si>
    <t>Vanilla</t>
  </si>
  <si>
    <t>Delta</t>
  </si>
  <si>
    <t>Gamma</t>
  </si>
  <si>
    <t>Vega</t>
  </si>
  <si>
    <t>Theta</t>
  </si>
  <si>
    <t>Rhô</t>
  </si>
  <si>
    <t>European</t>
  </si>
  <si>
    <t>352 Days</t>
  </si>
  <si>
    <t>`</t>
  </si>
  <si>
    <t>CRR</t>
  </si>
  <si>
    <t>BSM</t>
  </si>
  <si>
    <t>STEPS</t>
  </si>
  <si>
    <t>30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</si>
</sst>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#,##0\ &quot;€&quot;"/>
    <numFmt numFmtId="166" formatCode="#,##0.00000\ &quot;€&quot;"/>
    <numFmt numFmtId="167" formatCode="0.00000000"/>
    <numFmt numFmtId="168" formatCode="0.000000000"/>
    <numFmt numFmtId="169" formatCode="0.00000"/>
    <numFmt numFmtId="170" formatCode="0.0000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0"/>
      <color rgb="FF000000"/>
      <name val="Tahoma"/>
      <family val="34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gradientFill>
        <stop position="0">
          <color rgb="FF1F497D"/>
        </stop>
        <stop position="0.5">
          <color rgb="FF4F81BD"/>
        </stop>
        <stop position="1">
          <color rgb="FF1F497D"/>
        </stop>
      </gradientFill>
    </fill>
    <fill>
      <gradientFill>
        <stop position="0">
          <color rgb="FFFCD5B4"/>
        </stop>
        <stop position="0.5">
          <color rgb="FFFDE9D9"/>
        </stop>
        <stop position="1">
          <color rgb="FFFCD5B4"/>
        </stop>
      </gradientFill>
    </fill>
    <fill>
      <patternFill patternType="solid">
        <fgColor theme="0"/>
        <bgColor indexed="64"/>
      </patternFill>
    </fill>
    <fill>
      <patternFill patternType="lightTrellis">
        <fgColor rgb="FFFFC000"/>
        <bgColor theme="0"/>
      </patternFill>
    </fill>
    <fill>
      <patternFill patternType="lightTrellis">
        <fgColor rgb="FFFF0000"/>
        <bgColor theme="0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236381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9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9"/>
      </top>
      <bottom style="thin">
        <color theme="0"/>
      </bottom>
      <diagonal/>
    </border>
    <border>
      <left/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9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theme="0"/>
      </bottom>
      <diagonal/>
    </border>
    <border>
      <left style="medium">
        <color indexed="64"/>
      </left>
      <right/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9" fontId="3" fillId="3" borderId="10" xfId="0" applyNumberFormat="1" applyFont="1" applyFill="1" applyBorder="1" applyAlignment="1">
      <alignment horizontal="center" vertical="center"/>
    </xf>
    <xf numFmtId="165" fontId="3" fillId="3" borderId="10" xfId="1" applyNumberFormat="1" applyFont="1" applyFill="1" applyBorder="1" applyAlignment="1">
      <alignment horizontal="center" vertical="center"/>
    </xf>
    <xf numFmtId="2" fontId="3" fillId="3" borderId="10" xfId="0" applyNumberFormat="1" applyFont="1" applyFill="1" applyBorder="1" applyAlignment="1">
      <alignment horizontal="center" vertical="center"/>
    </xf>
    <xf numFmtId="1" fontId="3" fillId="3" borderId="10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9" fontId="5" fillId="5" borderId="12" xfId="0" applyNumberFormat="1" applyFont="1" applyFill="1" applyBorder="1" applyAlignment="1">
      <alignment horizontal="center" vertical="center"/>
    </xf>
    <xf numFmtId="170" fontId="5" fillId="5" borderId="12" xfId="0" applyNumberFormat="1" applyFont="1" applyFill="1" applyBorder="1" applyAlignment="1">
      <alignment horizontal="center" vertical="center"/>
    </xf>
    <xf numFmtId="168" fontId="5" fillId="5" borderId="12" xfId="0" applyNumberFormat="1" applyFont="1" applyFill="1" applyBorder="1" applyAlignment="1">
      <alignment horizontal="center" vertical="center"/>
    </xf>
    <xf numFmtId="165" fontId="3" fillId="3" borderId="13" xfId="1" applyNumberFormat="1" applyFont="1" applyFill="1" applyBorder="1" applyAlignment="1">
      <alignment horizontal="center" vertical="center"/>
    </xf>
    <xf numFmtId="14" fontId="3" fillId="3" borderId="13" xfId="1" applyNumberFormat="1" applyFont="1" applyFill="1" applyBorder="1" applyAlignment="1">
      <alignment horizontal="center" vertical="center"/>
    </xf>
    <xf numFmtId="9" fontId="3" fillId="3" borderId="13" xfId="2" applyFont="1" applyFill="1" applyBorder="1" applyAlignment="1">
      <alignment horizontal="center" vertical="center"/>
    </xf>
    <xf numFmtId="0" fontId="3" fillId="3" borderId="13" xfId="1" applyNumberFormat="1" applyFont="1" applyFill="1" applyBorder="1" applyAlignment="1">
      <alignment horizontal="center" vertical="center"/>
    </xf>
    <xf numFmtId="2" fontId="3" fillId="6" borderId="13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/>
    </xf>
    <xf numFmtId="0" fontId="10" fillId="7" borderId="15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0" fillId="4" borderId="17" xfId="0" applyFont="1" applyFill="1" applyBorder="1"/>
    <xf numFmtId="0" fontId="0" fillId="4" borderId="18" xfId="0" applyFont="1" applyFill="1" applyBorder="1"/>
    <xf numFmtId="0" fontId="0" fillId="4" borderId="19" xfId="0" applyFont="1" applyFill="1" applyBorder="1"/>
    <xf numFmtId="0" fontId="0" fillId="4" borderId="20" xfId="0" applyFont="1" applyFill="1" applyBorder="1"/>
    <xf numFmtId="0" fontId="0" fillId="4" borderId="0" xfId="0" applyFont="1" applyFill="1" applyBorder="1"/>
    <xf numFmtId="0" fontId="0" fillId="4" borderId="21" xfId="0" applyFont="1" applyFill="1" applyBorder="1"/>
    <xf numFmtId="0" fontId="0" fillId="4" borderId="20" xfId="0" applyFill="1" applyBorder="1"/>
    <xf numFmtId="0" fontId="0" fillId="4" borderId="0" xfId="0" applyFill="1" applyBorder="1"/>
    <xf numFmtId="0" fontId="0" fillId="4" borderId="21" xfId="0" applyFill="1" applyBorder="1"/>
    <xf numFmtId="14" fontId="0" fillId="4" borderId="0" xfId="0" applyNumberFormat="1" applyFill="1" applyBorder="1"/>
    <xf numFmtId="0" fontId="4" fillId="4" borderId="0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24" xfId="0" applyFill="1" applyBorder="1"/>
    <xf numFmtId="0" fontId="0" fillId="11" borderId="0" xfId="0" applyFont="1" applyFill="1"/>
    <xf numFmtId="0" fontId="0" fillId="11" borderId="17" xfId="0" applyFont="1" applyFill="1" applyBorder="1"/>
    <xf numFmtId="0" fontId="0" fillId="11" borderId="18" xfId="0" applyFont="1" applyFill="1" applyBorder="1"/>
    <xf numFmtId="0" fontId="0" fillId="11" borderId="19" xfId="0" applyFont="1" applyFill="1" applyBorder="1"/>
    <xf numFmtId="0" fontId="0" fillId="11" borderId="0" xfId="0" applyFill="1"/>
    <xf numFmtId="14" fontId="0" fillId="11" borderId="0" xfId="0" applyNumberFormat="1" applyFill="1"/>
    <xf numFmtId="0" fontId="0" fillId="11" borderId="0" xfId="0" applyFill="1" applyAlignment="1">
      <alignment vertical="center"/>
    </xf>
    <xf numFmtId="168" fontId="0" fillId="4" borderId="20" xfId="0" applyNumberFormat="1" applyFill="1" applyBorder="1"/>
    <xf numFmtId="11" fontId="0" fillId="4" borderId="0" xfId="0" applyNumberFormat="1" applyFill="1" applyBorder="1"/>
    <xf numFmtId="0" fontId="0" fillId="4" borderId="23" xfId="0" applyNumberFormat="1" applyFill="1" applyBorder="1"/>
    <xf numFmtId="0" fontId="0" fillId="11" borderId="0" xfId="0" applyFill="1" applyBorder="1"/>
    <xf numFmtId="0" fontId="0" fillId="11" borderId="0" xfId="0" applyNumberFormat="1" applyFill="1"/>
    <xf numFmtId="167" fontId="0" fillId="11" borderId="0" xfId="0" applyNumberFormat="1" applyFill="1"/>
    <xf numFmtId="166" fontId="0" fillId="11" borderId="0" xfId="0" applyNumberFormat="1" applyFill="1"/>
    <xf numFmtId="14" fontId="0" fillId="11" borderId="0" xfId="0" applyNumberFormat="1" applyFill="1" applyBorder="1"/>
    <xf numFmtId="0" fontId="3" fillId="3" borderId="10" xfId="0" applyNumberFormat="1" applyFont="1" applyFill="1" applyBorder="1" applyAlignment="1">
      <alignment horizontal="center" vertical="center"/>
    </xf>
    <xf numFmtId="169" fontId="3" fillId="3" borderId="16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169" fontId="3" fillId="3" borderId="30" xfId="0" applyNumberFormat="1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5" fillId="4" borderId="0" xfId="0" applyFont="1" applyFill="1" applyBorder="1" applyAlignment="1">
      <alignment horizontal="center" wrapText="1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236381"/>
      <color rgb="FFA5A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Convergence</a:t>
            </a:r>
            <a:r>
              <a:rPr lang="fr-FR" baseline="0"/>
              <a:t> CRR - BSM 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CONVERGENCE!$I$4</c:f>
              <c:strCache>
                <c:ptCount val="1"/>
                <c:pt idx="0">
                  <c:v>CRR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CONVERGENCE!$H$5:$H$27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CONVERGENCE!$I$5:$I$27</c:f>
              <c:numCache>
                <c:formatCode>0.00000</c:formatCode>
                <c:ptCount val="23"/>
                <c:pt idx="0">
                  <c:v>27.920317009779914</c:v>
                </c:pt>
                <c:pt idx="1">
                  <c:v>26.854876301954505</c:v>
                </c:pt>
                <c:pt idx="2">
                  <c:v>27.187469149344459</c:v>
                </c:pt>
                <c:pt idx="3">
                  <c:v>26.943753352354506</c:v>
                </c:pt>
                <c:pt idx="4">
                  <c:v>27.072546175005982</c:v>
                </c:pt>
                <c:pt idx="5">
                  <c:v>26.954833104231074</c:v>
                </c:pt>
                <c:pt idx="6">
                  <c:v>27.019103143721235</c:v>
                </c:pt>
                <c:pt idx="7">
                  <c:v>26.955805241262063</c:v>
                </c:pt>
                <c:pt idx="8">
                  <c:v>26.988691429829426</c:v>
                </c:pt>
                <c:pt idx="9">
                  <c:v>26.953559068990785</c:v>
                </c:pt>
                <c:pt idx="10">
                  <c:v>26.950721079291569</c:v>
                </c:pt>
                <c:pt idx="11">
                  <c:v>26.951492980646378</c:v>
                </c:pt>
                <c:pt idx="12">
                  <c:v>26.94857410638544</c:v>
                </c:pt>
                <c:pt idx="13">
                  <c:v>26.946094100246015</c:v>
                </c:pt>
                <c:pt idx="14">
                  <c:v>26.94394323720784</c:v>
                </c:pt>
                <c:pt idx="15">
                  <c:v>26.937597262166403</c:v>
                </c:pt>
                <c:pt idx="16">
                  <c:v>26.931957200707931</c:v>
                </c:pt>
                <c:pt idx="17">
                  <c:v>26.927593332776336</c:v>
                </c:pt>
                <c:pt idx="18">
                  <c:v>26.924707003788644</c:v>
                </c:pt>
                <c:pt idx="19">
                  <c:v>26.921443415659738</c:v>
                </c:pt>
                <c:pt idx="20">
                  <c:v>26.920150915091593</c:v>
                </c:pt>
                <c:pt idx="21">
                  <c:v>26.917913680320169</c:v>
                </c:pt>
                <c:pt idx="22">
                  <c:v>26.916929029675234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EA-604C-AE23-FADF05D49F7F}"/>
            </c:ext>
          </c:extLst>
        </c:ser>
        <c:ser>
          <c:idx val="1"/>
          <c:order val="1"/>
          <c:tx>
            <c:strRef>
              <c:f>CONVERGENCE!$J$4</c:f>
              <c:strCache>
                <c:ptCount val="1"/>
                <c:pt idx="0">
                  <c:v>BSM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CONVERGENCE!$H$5:$H$27</c:f>
              <c:numCache>
                <c:formatCode>General</c:formatCode>
                <c:ptCount val="23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150</c:v>
                </c:pt>
                <c:pt idx="16">
                  <c:v>200</c:v>
                </c:pt>
                <c:pt idx="17">
                  <c:v>250</c:v>
                </c:pt>
                <c:pt idx="18">
                  <c:v>300</c:v>
                </c:pt>
                <c:pt idx="19">
                  <c:v>350</c:v>
                </c:pt>
                <c:pt idx="20">
                  <c:v>400</c:v>
                </c:pt>
                <c:pt idx="21">
                  <c:v>450</c:v>
                </c:pt>
                <c:pt idx="22">
                  <c:v>500</c:v>
                </c:pt>
              </c:numCache>
            </c:numRef>
          </c:cat>
          <c:val>
            <c:numRef>
              <c:f>CONVERGENCE!$J$5:$J$27</c:f>
              <c:numCache>
                <c:formatCode>General</c:formatCode>
                <c:ptCount val="23"/>
                <c:pt idx="0">
                  <c:v>24.624020188599005</c:v>
                </c:pt>
                <c:pt idx="1">
                  <c:v>24.624020188599005</c:v>
                </c:pt>
                <c:pt idx="2">
                  <c:v>24.624020188599005</c:v>
                </c:pt>
                <c:pt idx="3">
                  <c:v>24.624020188599005</c:v>
                </c:pt>
                <c:pt idx="4">
                  <c:v>24.624020188599005</c:v>
                </c:pt>
                <c:pt idx="5">
                  <c:v>24.624020188599005</c:v>
                </c:pt>
                <c:pt idx="6">
                  <c:v>24.624020188599005</c:v>
                </c:pt>
                <c:pt idx="7">
                  <c:v>24.624020188599005</c:v>
                </c:pt>
                <c:pt idx="8">
                  <c:v>24.624020188599005</c:v>
                </c:pt>
                <c:pt idx="9">
                  <c:v>24.624020188599005</c:v>
                </c:pt>
                <c:pt idx="10">
                  <c:v>24.624020188599005</c:v>
                </c:pt>
                <c:pt idx="11">
                  <c:v>24.624020188599005</c:v>
                </c:pt>
                <c:pt idx="12">
                  <c:v>24.624020188599005</c:v>
                </c:pt>
                <c:pt idx="13">
                  <c:v>24.624020188599005</c:v>
                </c:pt>
                <c:pt idx="14">
                  <c:v>24.624020188599005</c:v>
                </c:pt>
                <c:pt idx="15">
                  <c:v>24.624020188599005</c:v>
                </c:pt>
                <c:pt idx="16">
                  <c:v>24.624020188599005</c:v>
                </c:pt>
                <c:pt idx="17">
                  <c:v>24.624020188599005</c:v>
                </c:pt>
                <c:pt idx="18">
                  <c:v>24.624020188599005</c:v>
                </c:pt>
                <c:pt idx="19">
                  <c:v>24.624020188599005</c:v>
                </c:pt>
                <c:pt idx="20">
                  <c:v>24.624020188599005</c:v>
                </c:pt>
                <c:pt idx="21">
                  <c:v>24.624020188599005</c:v>
                </c:pt>
                <c:pt idx="22">
                  <c:v>24.624020188599005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A-604C-AE23-FADF05D49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725151"/>
        <c:axId val="212184879"/>
      </c:lineChart>
      <c:catAx>
        <c:axId val="33872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2184879"/>
        <c:crosses val="autoZero"/>
        <c:auto val="1"/>
        <c:lblAlgn val="ctr"/>
        <c:lblOffset val="100"/>
        <c:noMultiLvlLbl val="0"/>
      </c:catAx>
      <c:valAx>
        <c:axId val="21218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8725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774699</xdr:colOff>
      <xdr:row>0</xdr:row>
      <xdr:rowOff>177800</xdr:rowOff>
    </xdr:from>
    <xdr:to>
      <xdr:col>8</xdr:col>
      <xdr:colOff>795233</xdr:colOff>
      <xdr:row>3</xdr:row>
      <xdr:rowOff>124968</xdr:rowOff>
    </xdr:to>
    <xdr:sp macro="" textlink="">
      <xdr:nvSpPr>
        <xdr:cNvPr id="7" name="BannerTitl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1597659" y="177800"/>
          <a:ext cx="9184854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PRICER (CRR MODEL)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1181100</xdr:colOff>
          <xdr:row>9</xdr:row>
          <xdr:rowOff>190500</xdr:rowOff>
        </xdr:from>
        <xdr:to>
          <xdr:col>6</xdr:col>
          <xdr:colOff>1092200</xdr:colOff>
          <xdr:row>11</xdr:row>
          <xdr:rowOff>88900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&amp; Display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444500</xdr:colOff>
          <xdr:row>4</xdr:row>
          <xdr:rowOff>0</xdr:rowOff>
        </xdr:from>
        <xdr:to>
          <xdr:col>4</xdr:col>
          <xdr:colOff>215900</xdr:colOff>
          <xdr:row>5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1231900</xdr:colOff>
          <xdr:row>9</xdr:row>
          <xdr:rowOff>165100</xdr:rowOff>
        </xdr:from>
        <xdr:to>
          <xdr:col>8</xdr:col>
          <xdr:colOff>647700</xdr:colOff>
          <xdr:row>11</xdr:row>
          <xdr:rowOff>63500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RESULT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101600</xdr:rowOff>
    </xdr:to>
    <xdr:sp macro="" textlink="">
      <xdr:nvSpPr>
        <xdr:cNvPr id="1033" name="AutoShape 9" descr="RÃ©sultat de recherche d'images pour &quot;emlyon business school logo&quot;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>
          <a:spLocks noChangeAspect="1" noChangeArrowheads="1"/>
        </xdr:cNvSpPr>
      </xdr:nvSpPr>
      <xdr:spPr bwMode="auto">
        <a:xfrm>
          <a:off x="6273800" y="347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16</xdr:row>
      <xdr:rowOff>0</xdr:rowOff>
    </xdr:from>
    <xdr:to>
      <xdr:col>6</xdr:col>
      <xdr:colOff>304800</xdr:colOff>
      <xdr:row>17</xdr:row>
      <xdr:rowOff>63500</xdr:rowOff>
    </xdr:to>
    <xdr:sp macro="" textlink="">
      <xdr:nvSpPr>
        <xdr:cNvPr id="1035" name="AutoShape 11" descr="RÃ©sultat de recherche d'images pour &quot;emlyon business school logo&quot;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7886700" y="36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1168400</xdr:colOff>
          <xdr:row>12</xdr:row>
          <xdr:rowOff>50800</xdr:rowOff>
        </xdr:from>
        <xdr:to>
          <xdr:col>6</xdr:col>
          <xdr:colOff>1079500</xdr:colOff>
          <xdr:row>13</xdr:row>
          <xdr:rowOff>190500</xdr:rowOff>
        </xdr:to>
        <xdr:sp macro="" textlink="">
          <xdr:nvSpPr>
            <xdr:cNvPr id="2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w/o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929640</xdr:colOff>
      <xdr:row>0</xdr:row>
      <xdr:rowOff>193040</xdr:rowOff>
    </xdr:from>
    <xdr:to>
      <xdr:col>9</xdr:col>
      <xdr:colOff>832373</xdr:colOff>
      <xdr:row>3</xdr:row>
      <xdr:rowOff>140208</xdr:rowOff>
    </xdr:to>
    <xdr:sp macro="" textlink="">
      <xdr:nvSpPr>
        <xdr:cNvPr id="4" name="BannerTitl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1752600" y="193040"/>
          <a:ext cx="9422653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PRICER (BSM MODEL)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1435100</xdr:colOff>
          <xdr:row>11</xdr:row>
          <xdr:rowOff>127000</xdr:rowOff>
        </xdr:from>
        <xdr:to>
          <xdr:col>6</xdr:col>
          <xdr:colOff>1130300</xdr:colOff>
          <xdr:row>13</xdr:row>
          <xdr:rowOff>50800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PRICE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3</xdr:row>
          <xdr:rowOff>177800</xdr:rowOff>
        </xdr:from>
        <xdr:to>
          <xdr:col>3</xdr:col>
          <xdr:colOff>1600200</xdr:colOff>
          <xdr:row>5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11</xdr:row>
          <xdr:rowOff>127000</xdr:rowOff>
        </xdr:from>
        <xdr:to>
          <xdr:col>9</xdr:col>
          <xdr:colOff>622300</xdr:colOff>
          <xdr:row>13</xdr:row>
          <xdr:rowOff>50800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787400</xdr:colOff>
      <xdr:row>10</xdr:row>
      <xdr:rowOff>203200</xdr:rowOff>
    </xdr:from>
    <xdr:to>
      <xdr:col>6</xdr:col>
      <xdr:colOff>279400</xdr:colOff>
      <xdr:row>26</xdr:row>
      <xdr:rowOff>146050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457200</xdr:colOff>
      <xdr:row>0</xdr:row>
      <xdr:rowOff>0</xdr:rowOff>
    </xdr:from>
    <xdr:to>
      <xdr:col>10</xdr:col>
      <xdr:colOff>625054</xdr:colOff>
      <xdr:row>2</xdr:row>
      <xdr:rowOff>160528</xdr:rowOff>
    </xdr:to>
    <xdr:sp macro="" textlink="">
      <xdr:nvSpPr>
        <xdr:cNvPr id="9" name="BannerTitl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1282700" y="0"/>
          <a:ext cx="9184854" cy="566928"/>
        </a:xfrm>
        <a:prstGeom prst="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9525">
          <a:noFill/>
          <a:miter lim="800000"/>
          <a:headEnd/>
          <a:tailEnd/>
        </a:ln>
      </xdr:spPr>
      <xdr:txBody>
        <a:bodyPr vertOverflow="clip" wrap="square" lIns="54864" tIns="50292" rIns="54864" bIns="50292" anchor="ctr" upright="1"/>
        <a:lstStyle/>
        <a:p>
          <a:pPr marL="0" indent="0" algn="ctr" rtl="0">
            <a:defRPr sz="1000"/>
          </a:pPr>
          <a:r>
            <a:rPr lang="en-US" sz="2800" b="1" i="0" u="none" strike="noStrike" baseline="0">
              <a:solidFill>
                <a:srgbClr val="F2F2F2"/>
              </a:solidFill>
              <a:latin typeface="+mn-lt"/>
              <a:ea typeface="+mn-ea"/>
              <a:cs typeface="+mn-cs"/>
            </a:rPr>
            <a:t>CONVERGENCE TEST CRR vs BSM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63500</xdr:rowOff>
        </xdr:from>
        <xdr:to>
          <xdr:col>6</xdr:col>
          <xdr:colOff>508000</xdr:colOff>
          <xdr:row>4</xdr:row>
          <xdr:rowOff>203200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convergence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165100</xdr:rowOff>
        </xdr:from>
        <xdr:to>
          <xdr:col>6</xdr:col>
          <xdr:colOff>203200</xdr:colOff>
          <xdr:row>6</xdr:row>
          <xdr:rowOff>190500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8A126-AC86-2E48-BF1C-CB142ADB5257}">
  <sheetPr codeName="Feuil1">
    <tabColor theme="4"/>
  </sheetPr>
  <dimension ref="A1:O24"/>
  <sheetViews>
    <sheetView zoomScale="120" zoomScaleNormal="120" workbookViewId="0">
      <pane xSplit="10" ySplit="23" topLeftCell="L24" activePane="bottomRight" state="frozen"/>
      <selection pane="topRight" activeCell="K1" sqref="K1"/>
      <selection pane="bottomLeft" activeCell="A24" sqref="A24"/>
      <selection pane="bottomRight" activeCell="F18" sqref="F18"/>
    </sheetView>
  </sheetViews>
  <sheetFormatPr baseColWidth="10" defaultRowHeight="16" x14ac:dyDescent="0.2"/>
  <cols>
    <col min="1" max="2" width="10.83203125" style="49" customWidth="1"/>
    <col min="3" max="3" width="26.83203125" style="49" customWidth="1"/>
    <col min="4" max="4" width="23" style="49" customWidth="1"/>
    <col min="5" max="5" width="10.83203125" style="49"/>
    <col min="6" max="6" width="21.1640625" style="49" bestFit="1" customWidth="1"/>
    <col min="7" max="7" width="16.83203125" style="49" customWidth="1"/>
    <col min="8" max="9" width="10.83203125" style="49"/>
    <col min="10" max="10" width="9.33203125" style="49" customWidth="1"/>
    <col min="11" max="11" width="10.83203125" style="49"/>
    <col min="12" max="15" width="10.83203125" style="49" customWidth="1"/>
    <col min="16" max="16384" width="10.83203125" style="49"/>
  </cols>
  <sheetData>
    <row r="1" spans="1:15" ht="17" thickBot="1" x14ac:dyDescent="0.25">
      <c r="A1" s="45"/>
      <c r="B1" s="46"/>
      <c r="C1" s="47"/>
      <c r="D1" s="47"/>
      <c r="E1" s="47"/>
      <c r="F1" s="47"/>
      <c r="G1" s="47"/>
      <c r="H1" s="47"/>
      <c r="I1" s="47"/>
      <c r="J1" s="48"/>
      <c r="K1" s="45"/>
    </row>
    <row r="2" spans="1:15" x14ac:dyDescent="0.2">
      <c r="A2" s="45"/>
      <c r="B2" s="31"/>
      <c r="C2" s="32"/>
      <c r="D2" s="32"/>
      <c r="E2" s="32"/>
      <c r="F2" s="32"/>
      <c r="G2" s="32"/>
      <c r="H2" s="32"/>
      <c r="I2" s="32"/>
      <c r="J2" s="33"/>
      <c r="K2" s="45"/>
    </row>
    <row r="3" spans="1:15" x14ac:dyDescent="0.2">
      <c r="A3" s="45"/>
      <c r="B3" s="34"/>
      <c r="C3" s="35"/>
      <c r="D3" s="35"/>
      <c r="E3" s="35"/>
      <c r="F3" s="35"/>
      <c r="G3" s="35"/>
      <c r="H3" s="35"/>
      <c r="I3" s="35"/>
      <c r="J3" s="36"/>
      <c r="K3" s="45"/>
    </row>
    <row r="4" spans="1:15" x14ac:dyDescent="0.2">
      <c r="A4" s="45"/>
      <c r="B4" s="34"/>
      <c r="C4" s="35"/>
      <c r="D4" s="35"/>
      <c r="E4" s="35"/>
      <c r="F4" s="35"/>
      <c r="G4" s="35"/>
      <c r="H4" s="35"/>
      <c r="I4" s="35"/>
      <c r="J4" s="36"/>
      <c r="K4" s="45"/>
      <c r="L4" s="50"/>
      <c r="M4" s="49" t="s">
        <v>9</v>
      </c>
      <c r="N4" s="49" t="s">
        <v>28</v>
      </c>
    </row>
    <row r="5" spans="1:15" ht="19" x14ac:dyDescent="0.25">
      <c r="B5" s="37"/>
      <c r="C5" s="72" t="s">
        <v>16</v>
      </c>
      <c r="D5" s="72"/>
      <c r="E5" s="38"/>
      <c r="F5" s="72" t="s">
        <v>17</v>
      </c>
      <c r="G5" s="72"/>
      <c r="H5" s="38"/>
      <c r="I5" s="38"/>
      <c r="J5" s="39"/>
      <c r="L5" s="50"/>
      <c r="M5" s="49" t="s">
        <v>10</v>
      </c>
      <c r="N5" s="49" t="s">
        <v>12</v>
      </c>
      <c r="O5" s="51"/>
    </row>
    <row r="6" spans="1:15" ht="17" thickBot="1" x14ac:dyDescent="0.25">
      <c r="B6" s="37"/>
      <c r="C6" s="38"/>
      <c r="D6" s="38"/>
      <c r="E6" s="38"/>
      <c r="F6" s="38"/>
      <c r="G6" s="38"/>
      <c r="H6" s="38"/>
      <c r="I6" s="38"/>
      <c r="J6" s="39"/>
      <c r="O6" s="51"/>
    </row>
    <row r="7" spans="1:15" ht="19" x14ac:dyDescent="0.2">
      <c r="B7" s="37"/>
      <c r="C7" s="7" t="s">
        <v>0</v>
      </c>
      <c r="D7" s="14">
        <v>255</v>
      </c>
      <c r="E7" s="38"/>
      <c r="F7" s="1" t="s">
        <v>9</v>
      </c>
      <c r="G7" s="2">
        <v>21.469302236854848</v>
      </c>
      <c r="H7" s="38"/>
      <c r="I7" s="38"/>
      <c r="J7" s="39"/>
      <c r="O7" s="51"/>
    </row>
    <row r="8" spans="1:15" ht="19" x14ac:dyDescent="0.2">
      <c r="B8" s="37"/>
      <c r="C8" s="8" t="s">
        <v>1</v>
      </c>
      <c r="D8" s="14">
        <v>250</v>
      </c>
      <c r="E8" s="38"/>
      <c r="F8" s="3" t="s">
        <v>10</v>
      </c>
      <c r="G8" s="4"/>
      <c r="H8" s="38"/>
      <c r="I8" s="38"/>
      <c r="J8" s="39"/>
      <c r="O8" s="51"/>
    </row>
    <row r="9" spans="1:15" ht="20" thickBot="1" x14ac:dyDescent="0.25">
      <c r="B9" s="37"/>
      <c r="C9" s="8" t="s">
        <v>2</v>
      </c>
      <c r="D9" s="12">
        <v>43762</v>
      </c>
      <c r="E9" s="38"/>
      <c r="F9" s="5" t="s">
        <v>23</v>
      </c>
      <c r="G9" s="6">
        <v>0.62619606391036764</v>
      </c>
      <c r="H9" s="38"/>
      <c r="I9" s="38"/>
      <c r="J9" s="39"/>
      <c r="O9" s="51"/>
    </row>
    <row r="10" spans="1:15" ht="19" x14ac:dyDescent="0.2">
      <c r="B10" s="37"/>
      <c r="C10" s="8" t="s">
        <v>4</v>
      </c>
      <c r="D10" s="13">
        <v>0.16</v>
      </c>
      <c r="E10" s="38"/>
      <c r="F10" s="38"/>
      <c r="G10" s="38"/>
      <c r="H10" s="38"/>
      <c r="I10" s="38"/>
      <c r="J10" s="39"/>
      <c r="O10" s="51"/>
    </row>
    <row r="11" spans="1:15" ht="19" x14ac:dyDescent="0.2">
      <c r="A11" s="50"/>
      <c r="B11" s="37"/>
      <c r="C11" s="8" t="s">
        <v>5</v>
      </c>
      <c r="D11" s="13">
        <v>0.02</v>
      </c>
      <c r="E11" s="38"/>
      <c r="F11" s="38"/>
      <c r="G11" s="38"/>
      <c r="H11" s="38"/>
      <c r="I11" s="38"/>
      <c r="J11" s="39"/>
      <c r="O11" s="51"/>
    </row>
    <row r="12" spans="1:15" ht="19" x14ac:dyDescent="0.2">
      <c r="B12" s="37"/>
      <c r="C12" s="8" t="s">
        <v>8</v>
      </c>
      <c r="D12" s="16">
        <v>7</v>
      </c>
      <c r="E12" s="38"/>
      <c r="F12" s="38"/>
      <c r="G12" s="40"/>
      <c r="H12" s="38"/>
      <c r="I12" s="38"/>
      <c r="J12" s="39"/>
    </row>
    <row r="13" spans="1:15" ht="19" x14ac:dyDescent="0.2">
      <c r="B13" s="37"/>
      <c r="C13" s="8" t="s">
        <v>6</v>
      </c>
      <c r="D13" s="10" t="s">
        <v>9</v>
      </c>
      <c r="E13" s="38"/>
      <c r="F13" s="38"/>
      <c r="G13" s="38"/>
      <c r="H13" s="38"/>
      <c r="I13" s="38"/>
      <c r="J13" s="39"/>
    </row>
    <row r="14" spans="1:15" ht="20" thickBot="1" x14ac:dyDescent="0.25">
      <c r="B14" s="37"/>
      <c r="C14" s="9" t="s">
        <v>7</v>
      </c>
      <c r="D14" s="11" t="s">
        <v>28</v>
      </c>
      <c r="E14" s="38"/>
      <c r="F14" s="38"/>
      <c r="G14" s="38"/>
      <c r="H14" s="38"/>
      <c r="I14" s="38"/>
      <c r="J14" s="39"/>
    </row>
    <row r="15" spans="1:15" ht="19" x14ac:dyDescent="0.25">
      <c r="B15" s="37"/>
      <c r="C15" s="41"/>
      <c r="D15" s="41"/>
      <c r="E15" s="38"/>
      <c r="F15" s="38"/>
      <c r="G15" s="38"/>
      <c r="H15" s="38"/>
      <c r="I15" s="38"/>
      <c r="J15" s="39"/>
    </row>
    <row r="16" spans="1:15" x14ac:dyDescent="0.2">
      <c r="B16" s="37"/>
      <c r="C16" s="38"/>
      <c r="D16" s="38"/>
      <c r="E16" s="38"/>
      <c r="F16"/>
      <c r="G16" s="38"/>
      <c r="H16" s="38"/>
      <c r="I16" s="38"/>
      <c r="J16" s="39"/>
    </row>
    <row r="17" spans="2:10" ht="19" x14ac:dyDescent="0.25">
      <c r="B17" s="37"/>
      <c r="C17" s="72" t="s">
        <v>18</v>
      </c>
      <c r="D17" s="72"/>
      <c r="E17" s="38"/>
      <c r="F17" s="38"/>
      <c r="G17"/>
      <c r="H17" s="38"/>
      <c r="I17" s="38"/>
      <c r="J17" s="39"/>
    </row>
    <row r="18" spans="2:10" x14ac:dyDescent="0.2">
      <c r="B18" s="37"/>
      <c r="C18" s="38"/>
      <c r="D18" s="38"/>
      <c r="E18" s="38"/>
      <c r="F18" s="38"/>
      <c r="G18" s="38"/>
      <c r="H18" s="38"/>
      <c r="I18" s="38"/>
      <c r="J18" s="39"/>
    </row>
    <row r="19" spans="2:10" ht="19" x14ac:dyDescent="0.2">
      <c r="B19" s="37"/>
      <c r="C19" s="8" t="s">
        <v>13</v>
      </c>
      <c r="D19" s="15">
        <v>1.0611864896050041</v>
      </c>
      <c r="E19" s="38"/>
      <c r="F19" s="38"/>
      <c r="G19" s="38"/>
      <c r="H19" s="38"/>
      <c r="I19" s="38"/>
      <c r="J19" s="39"/>
    </row>
    <row r="20" spans="2:10" ht="19" x14ac:dyDescent="0.2">
      <c r="B20" s="37"/>
      <c r="C20" s="8" t="s">
        <v>14</v>
      </c>
      <c r="D20" s="10">
        <v>0.94234143554939254</v>
      </c>
      <c r="E20" s="38"/>
      <c r="F20" s="38"/>
      <c r="G20" s="38"/>
      <c r="H20" s="38"/>
      <c r="I20" s="38"/>
      <c r="J20" s="39"/>
    </row>
    <row r="21" spans="2:10" ht="19" x14ac:dyDescent="0.2">
      <c r="B21" s="37"/>
      <c r="C21" s="8" t="s">
        <v>15</v>
      </c>
      <c r="D21" s="10">
        <v>0.50837408496498537</v>
      </c>
      <c r="E21" s="38"/>
      <c r="F21" s="38"/>
      <c r="G21" s="38"/>
      <c r="H21" s="38"/>
      <c r="I21" s="38"/>
      <c r="J21" s="39"/>
    </row>
    <row r="22" spans="2:10" ht="19" x14ac:dyDescent="0.2">
      <c r="B22" s="37"/>
      <c r="C22" s="8" t="s">
        <v>3</v>
      </c>
      <c r="D22" s="10" t="s">
        <v>29</v>
      </c>
      <c r="E22" s="38"/>
      <c r="F22" s="38"/>
      <c r="G22" s="38"/>
      <c r="H22" s="38"/>
      <c r="I22" s="38"/>
      <c r="J22" s="39"/>
    </row>
    <row r="23" spans="2:10" ht="17" thickBot="1" x14ac:dyDescent="0.25">
      <c r="B23" s="42"/>
      <c r="C23" s="43"/>
      <c r="D23" s="43"/>
      <c r="E23" s="43"/>
      <c r="F23" s="43"/>
      <c r="G23" s="43"/>
      <c r="H23" s="43"/>
      <c r="I23" s="43"/>
      <c r="J23" s="44"/>
    </row>
    <row r="24" spans="2:10" s="55" customFormat="1" x14ac:dyDescent="0.2"/>
  </sheetData>
  <mergeCells count="3">
    <mergeCell ref="C5:D5"/>
    <mergeCell ref="F5:G5"/>
    <mergeCell ref="C17:D17"/>
  </mergeCells>
  <dataValidations count="3">
    <dataValidation type="list" allowBlank="1" showInputMessage="1" showErrorMessage="1" sqref="D13" xr:uid="{FBD6DB2A-BF2B-DE46-990C-3A2E033DFC06}">
      <formula1>Call_Put</formula1>
    </dataValidation>
    <dataValidation type="list" allowBlank="1" showInputMessage="1" showErrorMessage="1" sqref="D14" xr:uid="{27A4CAC1-92AD-8F40-BF54-98B344E6734F}">
      <formula1>$N$4:$N$5</formula1>
    </dataValidation>
    <dataValidation type="date" allowBlank="1" showInputMessage="1" showErrorMessage="1" sqref="D9" xr:uid="{E8CF096A-F033-8F44-956F-0655500308E8}">
      <formula1>L4</formula1>
      <formula2>L5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CRR_Pricer">
                <anchor moveWithCells="1" sizeWithCells="1">
                  <from>
                    <xdr:col>5</xdr:col>
                    <xdr:colOff>1181100</xdr:colOff>
                    <xdr:row>9</xdr:row>
                    <xdr:rowOff>190500</xdr:rowOff>
                  </from>
                  <to>
                    <xdr:col>6</xdr:col>
                    <xdr:colOff>1092200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R.delete_input">
                <anchor moveWithCells="1" sizeWithCells="1">
                  <from>
                    <xdr:col>3</xdr:col>
                    <xdr:colOff>444500</xdr:colOff>
                    <xdr:row>4</xdr:row>
                    <xdr:rowOff>0</xdr:rowOff>
                  </from>
                  <to>
                    <xdr:col>4</xdr:col>
                    <xdr:colOff>215900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CRR.delete_result">
                <anchor moveWithCells="1" sizeWithCells="1">
                  <from>
                    <xdr:col>6</xdr:col>
                    <xdr:colOff>1231900</xdr:colOff>
                    <xdr:row>9</xdr:row>
                    <xdr:rowOff>165100</xdr:rowOff>
                  </from>
                  <to>
                    <xdr:col>8</xdr:col>
                    <xdr:colOff>647700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9">
              <controlPr defaultSize="0" print="0" autoFill="0" autoPict="0" macro="[0]!CRR_pricer_wo_tree">
                <anchor moveWithCells="1" sizeWithCells="1">
                  <from>
                    <xdr:col>5</xdr:col>
                    <xdr:colOff>1168400</xdr:colOff>
                    <xdr:row>12</xdr:row>
                    <xdr:rowOff>50800</xdr:rowOff>
                  </from>
                  <to>
                    <xdr:col>6</xdr:col>
                    <xdr:colOff>1079500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6EE03-B04F-DB4A-8011-9079CA48201B}">
  <sheetPr codeName="Feuil3">
    <tabColor rgb="FF0070C0"/>
  </sheetPr>
  <dimension ref="A1:H31"/>
  <sheetViews>
    <sheetView zoomScale="108" zoomScaleNormal="108" workbookViewId="0">
      <pane ySplit="1" topLeftCell="A2" activePane="bottomLeft" state="frozen"/>
      <selection pane="bottomLeft" activeCell="L12" sqref="L12"/>
    </sheetView>
  </sheetViews>
  <sheetFormatPr baseColWidth="10" defaultRowHeight="16" x14ac:dyDescent="0.2"/>
  <sheetData>
    <row r="1" spans="1:8" ht="17" thickBot="1" x14ac:dyDescent="0.25">
      <c r="A1" s="26">
        <v>0</v>
      </c>
      <c r="B1" s="27">
        <v>1</v>
      </c>
      <c r="C1" s="27">
        <v>2</v>
      </c>
      <c r="D1" s="27">
        <v>3</v>
      </c>
      <c r="E1" s="27">
        <v>4</v>
      </c>
      <c r="F1" s="27">
        <v>5</v>
      </c>
      <c r="G1" s="27">
        <v>6</v>
      </c>
      <c r="H1" s="27">
        <v>7</v>
      </c>
    </row>
    <row r="2" spans="1:8" ht="17" thickTop="1" x14ac:dyDescent="0.2">
      <c r="H2" s="28">
        <v>386.4400820070008</v>
      </c>
    </row>
    <row r="3" spans="1:8" x14ac:dyDescent="0.2">
      <c r="H3" s="29">
        <v>136.4400820070008</v>
      </c>
    </row>
    <row r="4" spans="1:8" x14ac:dyDescent="0.2">
      <c r="G4" s="29">
        <v>364.15850163230209</v>
      </c>
    </row>
    <row r="5" spans="1:8" x14ac:dyDescent="0.2">
      <c r="G5" s="30">
        <v>114.84639888853646</v>
      </c>
    </row>
    <row r="6" spans="1:8" x14ac:dyDescent="0.2">
      <c r="F6" s="29">
        <v>343.16164519569935</v>
      </c>
      <c r="H6" s="28">
        <v>343.16164519569941</v>
      </c>
    </row>
    <row r="7" spans="1:8" x14ac:dyDescent="0.2">
      <c r="F7" s="30">
        <v>94.535546897627526</v>
      </c>
      <c r="H7" s="29">
        <v>93.161645195699407</v>
      </c>
    </row>
    <row r="8" spans="1:8" x14ac:dyDescent="0.2">
      <c r="E8" s="29">
        <v>323.37543735920661</v>
      </c>
      <c r="G8" s="29">
        <v>323.37543735920667</v>
      </c>
    </row>
    <row r="9" spans="1:8" x14ac:dyDescent="0.2">
      <c r="E9" s="30">
        <v>75.433455904524763</v>
      </c>
      <c r="G9" s="30">
        <v>74.063334615441008</v>
      </c>
    </row>
    <row r="10" spans="1:8" x14ac:dyDescent="0.2">
      <c r="D10" s="29">
        <v>304.73007386248742</v>
      </c>
      <c r="F10" s="29">
        <v>304.73007386248747</v>
      </c>
      <c r="H10" s="28">
        <v>304.73007386248747</v>
      </c>
    </row>
    <row r="11" spans="1:8" x14ac:dyDescent="0.2">
      <c r="D11" s="30">
        <v>58.030930023191161</v>
      </c>
      <c r="F11" s="30">
        <v>56.103975564415599</v>
      </c>
      <c r="H11" s="29">
        <v>54.730073862487473</v>
      </c>
    </row>
    <row r="12" spans="1:8" x14ac:dyDescent="0.2">
      <c r="C12" s="29">
        <v>287.15977525864878</v>
      </c>
      <c r="E12" s="29">
        <v>287.15977525864884</v>
      </c>
      <c r="G12" s="29">
        <v>287.15977525864884</v>
      </c>
    </row>
    <row r="13" spans="1:8" x14ac:dyDescent="0.2">
      <c r="C13" s="30">
        <v>43.038598302784983</v>
      </c>
      <c r="E13" s="30">
        <v>40.361244482489113</v>
      </c>
      <c r="G13" s="30">
        <v>37.847672514883172</v>
      </c>
    </row>
    <row r="14" spans="1:8" x14ac:dyDescent="0.2">
      <c r="B14" s="29">
        <v>270.60255484927603</v>
      </c>
      <c r="D14" s="29">
        <v>270.60255484927609</v>
      </c>
      <c r="F14" s="29">
        <v>270.60255484927609</v>
      </c>
      <c r="H14" s="28">
        <v>270.60255484927603</v>
      </c>
    </row>
    <row r="15" spans="1:8" x14ac:dyDescent="0.2">
      <c r="B15" s="30">
        <v>30.858212327597052</v>
      </c>
      <c r="D15" s="30">
        <v>27.777072413054032</v>
      </c>
      <c r="F15" s="30">
        <v>24.308729181720921</v>
      </c>
      <c r="H15" s="29">
        <v>20.602554849276032</v>
      </c>
    </row>
    <row r="16" spans="1:8" x14ac:dyDescent="0.2">
      <c r="A16" s="29">
        <v>255</v>
      </c>
      <c r="C16" s="29">
        <v>255.00000000000006</v>
      </c>
      <c r="E16" s="29">
        <v>255.00000000000006</v>
      </c>
      <c r="G16" s="29">
        <v>255</v>
      </c>
    </row>
    <row r="17" spans="1:8" x14ac:dyDescent="0.2">
      <c r="A17" s="30">
        <v>21.469302236854848</v>
      </c>
      <c r="C17" s="30">
        <v>18.436065752569093</v>
      </c>
      <c r="E17" s="30">
        <v>14.920091540559941</v>
      </c>
      <c r="G17" s="30">
        <v>10.444985362638374</v>
      </c>
    </row>
    <row r="18" spans="1:8" x14ac:dyDescent="0.2">
      <c r="B18" s="29">
        <v>240.29706606509515</v>
      </c>
      <c r="D18" s="29">
        <v>240.29706606509515</v>
      </c>
      <c r="F18" s="29">
        <v>240.29706606509509</v>
      </c>
      <c r="H18" s="28">
        <v>240.29706606509512</v>
      </c>
    </row>
    <row r="19" spans="1:8" x14ac:dyDescent="0.2">
      <c r="B19" s="30">
        <v>11.881034536063188</v>
      </c>
      <c r="D19" s="30">
        <v>8.8803097910514168</v>
      </c>
      <c r="F19" s="30">
        <v>5.2953490488857282</v>
      </c>
      <c r="H19" s="29">
        <v>0</v>
      </c>
    </row>
    <row r="20" spans="1:8" x14ac:dyDescent="0.2">
      <c r="C20" s="29">
        <v>226.44188219408898</v>
      </c>
      <c r="E20" s="29">
        <v>226.44188219408892</v>
      </c>
      <c r="G20" s="29">
        <v>226.44188219408895</v>
      </c>
    </row>
    <row r="21" spans="1:8" x14ac:dyDescent="0.2">
      <c r="C21" s="30">
        <v>5.1693743711403322</v>
      </c>
      <c r="E21" s="30">
        <v>2.6846108994883244</v>
      </c>
      <c r="G21" s="30">
        <v>0</v>
      </c>
    </row>
    <row r="22" spans="1:8" x14ac:dyDescent="0.2">
      <c r="D22" s="29">
        <v>213.38556833528418</v>
      </c>
      <c r="F22" s="29">
        <v>213.3855683352842</v>
      </c>
      <c r="H22" s="28">
        <v>213.3855683352842</v>
      </c>
    </row>
    <row r="23" spans="1:8" x14ac:dyDescent="0.2">
      <c r="D23" s="30">
        <v>1.3610312776582818</v>
      </c>
      <c r="F23" s="30">
        <v>0</v>
      </c>
      <c r="H23" s="29">
        <v>0</v>
      </c>
    </row>
    <row r="24" spans="1:8" x14ac:dyDescent="0.2">
      <c r="E24" s="29">
        <v>201.0820627905947</v>
      </c>
      <c r="G24" s="29">
        <v>201.0820627905947</v>
      </c>
    </row>
    <row r="25" spans="1:8" x14ac:dyDescent="0.2">
      <c r="E25" s="30">
        <v>0</v>
      </c>
      <c r="G25" s="30">
        <v>0</v>
      </c>
    </row>
    <row r="26" spans="1:8" x14ac:dyDescent="0.2">
      <c r="F26" s="29">
        <v>189.48795971332208</v>
      </c>
      <c r="H26" s="28">
        <v>189.48795971332208</v>
      </c>
    </row>
    <row r="27" spans="1:8" x14ac:dyDescent="0.2">
      <c r="F27" s="30">
        <v>0</v>
      </c>
      <c r="H27" s="29">
        <v>0</v>
      </c>
    </row>
    <row r="28" spans="1:8" x14ac:dyDescent="0.2">
      <c r="G28" s="29">
        <v>178.56235597557739</v>
      </c>
    </row>
    <row r="29" spans="1:8" x14ac:dyDescent="0.2">
      <c r="G29" s="30">
        <v>0</v>
      </c>
    </row>
    <row r="30" spans="1:8" x14ac:dyDescent="0.2">
      <c r="H30" s="28">
        <v>168.26670686510727</v>
      </c>
    </row>
    <row r="31" spans="1:8" x14ac:dyDescent="0.2">
      <c r="H31" s="2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7C0C-57AF-4E4D-B7C3-85784ED8DE7B}">
  <sheetPr codeName="Feuil5">
    <tabColor rgb="FFFF0000"/>
  </sheetPr>
  <dimension ref="A1:P29"/>
  <sheetViews>
    <sheetView tabSelected="1" zoomScale="120" zoomScaleNormal="120" workbookViewId="0">
      <pane xSplit="11" ySplit="23" topLeftCell="P24" activePane="bottomRight" state="frozen"/>
      <selection pane="topRight" activeCell="L1" sqref="L1"/>
      <selection pane="bottomLeft" activeCell="A24" sqref="A24"/>
      <selection pane="bottomRight" activeCell="F20" sqref="F20"/>
    </sheetView>
  </sheetViews>
  <sheetFormatPr baseColWidth="10" defaultRowHeight="16" x14ac:dyDescent="0.2"/>
  <cols>
    <col min="1" max="1" width="10.83203125" style="49"/>
    <col min="2" max="2" width="12.6640625" style="49" bestFit="1" customWidth="1"/>
    <col min="3" max="3" width="26.83203125" style="49" customWidth="1"/>
    <col min="4" max="4" width="23" style="49" customWidth="1"/>
    <col min="5" max="5" width="10.83203125" style="49" customWidth="1"/>
    <col min="6" max="6" width="21.1640625" style="49" bestFit="1" customWidth="1"/>
    <col min="7" max="7" width="16.83203125" style="49" customWidth="1"/>
    <col min="8" max="8" width="2.83203125" style="49" customWidth="1"/>
    <col min="9" max="9" width="10.83203125" style="49"/>
    <col min="10" max="10" width="11.1640625" style="49" customWidth="1"/>
    <col min="11" max="11" width="10.83203125" style="49"/>
    <col min="12" max="12" width="10.83203125" style="55"/>
    <col min="13" max="15" width="0" style="49" hidden="1" customWidth="1"/>
    <col min="16" max="16" width="10.83203125" style="55"/>
    <col min="17" max="16384" width="10.83203125" style="49"/>
  </cols>
  <sheetData>
    <row r="1" spans="1:15" ht="17" thickBot="1" x14ac:dyDescent="0.25">
      <c r="A1" s="45"/>
      <c r="B1" s="46"/>
      <c r="C1" s="47"/>
      <c r="D1" s="47"/>
      <c r="E1" s="47"/>
      <c r="F1" s="47"/>
      <c r="G1" s="47"/>
      <c r="H1" s="47"/>
      <c r="I1" s="47"/>
      <c r="J1" s="47"/>
      <c r="K1" s="47"/>
    </row>
    <row r="2" spans="1:15" x14ac:dyDescent="0.2">
      <c r="A2" s="45"/>
      <c r="B2" s="31"/>
      <c r="C2" s="32"/>
      <c r="D2" s="32"/>
      <c r="E2" s="32"/>
      <c r="F2" s="32"/>
      <c r="G2" s="32"/>
      <c r="H2" s="32"/>
      <c r="I2" s="32"/>
      <c r="J2" s="32"/>
      <c r="K2" s="33"/>
    </row>
    <row r="3" spans="1:15" x14ac:dyDescent="0.2">
      <c r="A3" s="45"/>
      <c r="B3" s="34"/>
      <c r="C3" s="35"/>
      <c r="D3" s="35"/>
      <c r="E3" s="35"/>
      <c r="F3" s="35"/>
      <c r="G3" s="35"/>
      <c r="H3" s="35"/>
      <c r="I3" s="35"/>
      <c r="J3" s="35"/>
      <c r="K3" s="36"/>
    </row>
    <row r="4" spans="1:15" x14ac:dyDescent="0.2">
      <c r="A4" s="45"/>
      <c r="B4" s="34"/>
      <c r="C4" s="35"/>
      <c r="D4" s="35"/>
      <c r="E4" s="35"/>
      <c r="F4" s="35"/>
      <c r="G4" s="35"/>
      <c r="H4" s="35"/>
      <c r="I4" s="35"/>
      <c r="J4" s="35"/>
      <c r="K4" s="36"/>
      <c r="L4" s="59"/>
      <c r="M4" s="49" t="s">
        <v>9</v>
      </c>
      <c r="N4" s="49" t="s">
        <v>11</v>
      </c>
      <c r="O4" s="49" t="s">
        <v>22</v>
      </c>
    </row>
    <row r="5" spans="1:15" ht="19" customHeight="1" x14ac:dyDescent="0.25">
      <c r="B5" s="37"/>
      <c r="C5" s="72" t="s">
        <v>16</v>
      </c>
      <c r="D5" s="72"/>
      <c r="E5" s="38"/>
      <c r="F5" s="72" t="s">
        <v>17</v>
      </c>
      <c r="G5" s="72"/>
      <c r="H5" s="38"/>
      <c r="I5" s="38"/>
      <c r="J5" s="38"/>
      <c r="K5" s="39"/>
      <c r="L5" s="59"/>
      <c r="M5" s="49" t="s">
        <v>10</v>
      </c>
      <c r="N5" s="49" t="s">
        <v>12</v>
      </c>
      <c r="O5" s="51"/>
    </row>
    <row r="6" spans="1:15" ht="17" thickBot="1" x14ac:dyDescent="0.25">
      <c r="B6" s="37"/>
      <c r="C6" s="38"/>
      <c r="D6" s="38"/>
      <c r="E6" s="38"/>
      <c r="F6" s="38"/>
      <c r="G6" s="38"/>
      <c r="H6" s="38"/>
      <c r="I6" s="38"/>
      <c r="J6" s="38"/>
      <c r="K6" s="39"/>
    </row>
    <row r="7" spans="1:15" ht="20" thickBot="1" x14ac:dyDescent="0.25">
      <c r="B7" s="37"/>
      <c r="C7" s="17" t="s">
        <v>0</v>
      </c>
      <c r="D7" s="21">
        <v>215</v>
      </c>
      <c r="E7" s="38"/>
      <c r="F7" s="17" t="s">
        <v>20</v>
      </c>
      <c r="G7" s="18"/>
      <c r="H7" s="38"/>
      <c r="I7" s="17" t="s">
        <v>23</v>
      </c>
      <c r="J7" s="19">
        <v>-0.34098099708740465</v>
      </c>
      <c r="K7" s="39"/>
    </row>
    <row r="8" spans="1:15" ht="20" thickBot="1" x14ac:dyDescent="0.25">
      <c r="B8" s="37"/>
      <c r="C8" s="17" t="s">
        <v>1</v>
      </c>
      <c r="D8" s="21">
        <v>210</v>
      </c>
      <c r="E8" s="38"/>
      <c r="F8" s="17" t="s">
        <v>19</v>
      </c>
      <c r="G8" s="20">
        <v>3.6406823074191266</v>
      </c>
      <c r="H8" s="38"/>
      <c r="I8" s="17" t="s">
        <v>24</v>
      </c>
      <c r="J8" s="19">
        <v>2.3805641681432278E-2</v>
      </c>
      <c r="K8" s="39"/>
      <c r="O8" s="51"/>
    </row>
    <row r="9" spans="1:15" ht="20" thickBot="1" x14ac:dyDescent="0.25">
      <c r="B9" s="37"/>
      <c r="C9" s="17" t="s">
        <v>2</v>
      </c>
      <c r="D9" s="22">
        <v>43440</v>
      </c>
      <c r="E9" s="38"/>
      <c r="F9" s="40"/>
      <c r="G9" s="38"/>
      <c r="H9" s="38"/>
      <c r="I9" s="17" t="s">
        <v>25</v>
      </c>
      <c r="J9" s="19">
        <v>0.22613449033315189</v>
      </c>
      <c r="K9" s="39"/>
      <c r="O9" s="51"/>
    </row>
    <row r="10" spans="1:15" ht="20" thickBot="1" x14ac:dyDescent="0.25">
      <c r="B10" s="37"/>
      <c r="C10" s="17" t="s">
        <v>4</v>
      </c>
      <c r="D10" s="23">
        <v>0.25</v>
      </c>
      <c r="E10" s="38"/>
      <c r="F10" s="38"/>
      <c r="G10" s="38"/>
      <c r="H10" s="38"/>
      <c r="I10" s="17" t="s">
        <v>26</v>
      </c>
      <c r="J10" s="19">
        <v>-0.31313223232369108</v>
      </c>
      <c r="K10" s="39"/>
      <c r="O10" s="51"/>
    </row>
    <row r="11" spans="1:15" ht="20" thickBot="1" x14ac:dyDescent="0.25">
      <c r="A11" s="50"/>
      <c r="B11" s="37"/>
      <c r="C11" s="17" t="s">
        <v>5</v>
      </c>
      <c r="D11" s="23">
        <v>0.04</v>
      </c>
      <c r="E11" s="38"/>
      <c r="F11" s="38"/>
      <c r="G11" s="38"/>
      <c r="H11" s="38"/>
      <c r="I11" s="17" t="s">
        <v>27</v>
      </c>
      <c r="J11" s="19">
        <v>-6.3247888348882939E-2</v>
      </c>
      <c r="K11" s="39"/>
      <c r="O11" s="51"/>
    </row>
    <row r="12" spans="1:15" ht="20" thickBot="1" x14ac:dyDescent="0.25">
      <c r="B12" s="37"/>
      <c r="C12" s="17" t="s">
        <v>21</v>
      </c>
      <c r="D12" s="24" t="s">
        <v>22</v>
      </c>
      <c r="E12" s="38"/>
      <c r="F12" s="38"/>
      <c r="G12" s="40"/>
      <c r="H12" s="38"/>
      <c r="I12" s="38"/>
      <c r="J12" s="38"/>
      <c r="K12" s="39"/>
    </row>
    <row r="13" spans="1:15" ht="20" thickBot="1" x14ac:dyDescent="0.25">
      <c r="B13" s="37"/>
      <c r="C13" s="17" t="s">
        <v>6</v>
      </c>
      <c r="D13" s="24" t="s">
        <v>10</v>
      </c>
      <c r="E13" s="38"/>
      <c r="F13" s="38"/>
      <c r="G13" s="38"/>
      <c r="H13" s="38"/>
      <c r="I13" s="38"/>
      <c r="J13" s="38"/>
      <c r="K13" s="39"/>
    </row>
    <row r="14" spans="1:15" ht="20" thickBot="1" x14ac:dyDescent="0.25">
      <c r="B14" s="37"/>
      <c r="C14" s="17" t="s">
        <v>7</v>
      </c>
      <c r="D14" s="24" t="s">
        <v>11</v>
      </c>
      <c r="E14" s="38"/>
      <c r="F14" s="38"/>
      <c r="G14" s="38"/>
      <c r="H14" s="38"/>
      <c r="I14" s="38"/>
      <c r="J14" s="38"/>
      <c r="K14" s="39"/>
    </row>
    <row r="15" spans="1:15" ht="19" x14ac:dyDescent="0.25">
      <c r="B15" s="37"/>
      <c r="C15" s="41"/>
      <c r="D15" s="41"/>
      <c r="E15" s="38"/>
      <c r="F15" s="38"/>
      <c r="G15" s="38"/>
      <c r="H15" s="38"/>
      <c r="I15" s="38"/>
      <c r="J15" s="38"/>
      <c r="K15" s="39"/>
    </row>
    <row r="16" spans="1:15" x14ac:dyDescent="0.2">
      <c r="B16" s="52"/>
      <c r="C16" s="38"/>
      <c r="D16" s="38"/>
      <c r="E16" s="38"/>
      <c r="F16" s="38"/>
      <c r="G16" s="38"/>
      <c r="H16" s="38"/>
      <c r="I16" s="38"/>
      <c r="J16" s="38"/>
      <c r="K16" s="39"/>
    </row>
    <row r="17" spans="2:11" ht="19" customHeight="1" x14ac:dyDescent="0.25">
      <c r="B17" s="52"/>
      <c r="C17" s="72" t="s">
        <v>18</v>
      </c>
      <c r="D17" s="72"/>
      <c r="E17" s="38" t="s">
        <v>30</v>
      </c>
      <c r="F17" s="38"/>
      <c r="G17" s="38"/>
      <c r="H17" s="38"/>
      <c r="I17" s="38"/>
      <c r="J17" s="38"/>
      <c r="K17" s="39"/>
    </row>
    <row r="18" spans="2:11" ht="17" thickBot="1" x14ac:dyDescent="0.25">
      <c r="B18" s="52"/>
      <c r="C18" s="38"/>
      <c r="D18" s="38"/>
      <c r="E18" s="38"/>
      <c r="F18" s="38"/>
      <c r="G18" s="38"/>
      <c r="H18" s="38"/>
      <c r="I18" s="38"/>
      <c r="J18" s="38"/>
      <c r="K18" s="39"/>
    </row>
    <row r="19" spans="2:11" ht="20" thickBot="1" x14ac:dyDescent="0.25">
      <c r="B19" s="52"/>
      <c r="C19" s="17" t="s">
        <v>3</v>
      </c>
      <c r="D19" s="25" t="s">
        <v>34</v>
      </c>
      <c r="E19" s="38"/>
      <c r="F19" s="53"/>
      <c r="G19" s="38"/>
      <c r="H19" s="38"/>
      <c r="I19" s="38"/>
      <c r="J19" s="38"/>
      <c r="K19" s="39"/>
    </row>
    <row r="20" spans="2:11" x14ac:dyDescent="0.2">
      <c r="B20" s="37"/>
      <c r="C20" s="38"/>
      <c r="D20" s="38"/>
      <c r="E20" s="38"/>
      <c r="F20" s="38"/>
      <c r="G20" s="38"/>
      <c r="H20" s="38"/>
      <c r="I20" s="38"/>
      <c r="J20" s="38"/>
      <c r="K20" s="39"/>
    </row>
    <row r="21" spans="2:11" x14ac:dyDescent="0.2">
      <c r="B21" s="37"/>
      <c r="C21" s="38"/>
      <c r="D21" s="38"/>
      <c r="E21" s="38"/>
      <c r="F21" s="38"/>
      <c r="G21" s="38"/>
      <c r="H21" s="38"/>
      <c r="I21" s="38"/>
      <c r="J21" s="38"/>
      <c r="K21" s="39"/>
    </row>
    <row r="22" spans="2:11" x14ac:dyDescent="0.2">
      <c r="B22" s="37"/>
      <c r="C22" s="38"/>
      <c r="D22" s="38"/>
      <c r="E22" s="38"/>
      <c r="F22" s="38"/>
      <c r="G22" s="38"/>
      <c r="H22" s="38"/>
      <c r="I22" s="38"/>
      <c r="J22" s="38"/>
      <c r="K22" s="39"/>
    </row>
    <row r="23" spans="2:11" ht="17" thickBot="1" x14ac:dyDescent="0.25">
      <c r="B23" s="42"/>
      <c r="C23" s="43"/>
      <c r="D23" s="54"/>
      <c r="E23" s="43"/>
      <c r="F23" s="43"/>
      <c r="G23" s="43"/>
      <c r="H23" s="43"/>
      <c r="I23" s="43"/>
      <c r="J23" s="43"/>
      <c r="K23" s="44"/>
    </row>
    <row r="24" spans="2:11" x14ac:dyDescent="0.2">
      <c r="D24" s="56"/>
    </row>
    <row r="25" spans="2:11" x14ac:dyDescent="0.2">
      <c r="D25" s="56"/>
    </row>
    <row r="26" spans="2:11" x14ac:dyDescent="0.2">
      <c r="D26" s="56"/>
    </row>
    <row r="27" spans="2:11" x14ac:dyDescent="0.2">
      <c r="D27" s="56"/>
    </row>
    <row r="28" spans="2:11" x14ac:dyDescent="0.2">
      <c r="D28" s="57"/>
    </row>
    <row r="29" spans="2:11" x14ac:dyDescent="0.2">
      <c r="D29" s="58"/>
    </row>
  </sheetData>
  <mergeCells count="3">
    <mergeCell ref="C5:D5"/>
    <mergeCell ref="F5:G5"/>
    <mergeCell ref="C17:D17"/>
  </mergeCells>
  <dataValidations count="4">
    <dataValidation type="date" allowBlank="1" showInputMessage="1" showErrorMessage="1" sqref="D9" xr:uid="{79588925-0A8A-9E43-B557-F84821BC7AA4}">
      <formula1>L4</formula1>
      <formula2>L5</formula2>
    </dataValidation>
    <dataValidation type="list" allowBlank="1" showInputMessage="1" showErrorMessage="1" sqref="D14" xr:uid="{252410E9-C8B9-ED48-BAF2-357FC1E96AEE}">
      <formula1>$N$4:$N$5</formula1>
    </dataValidation>
    <dataValidation type="list" allowBlank="1" showInputMessage="1" showErrorMessage="1" sqref="D13" xr:uid="{F7BB2A66-7EA6-1A4C-B471-9C9A9A6F9A80}">
      <formula1>Call_Put</formula1>
    </dataValidation>
    <dataValidation type="list" allowBlank="1" showInputMessage="1" showErrorMessage="1" sqref="D12" xr:uid="{81D3B09E-AD1D-C94C-AA64-40A31E510A65}">
      <formula1>$O$4:$O$8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price_BSM">
                <anchor moveWithCells="1" sizeWithCells="1">
                  <from>
                    <xdr:col>5</xdr:col>
                    <xdr:colOff>1435100</xdr:colOff>
                    <xdr:row>11</xdr:row>
                    <xdr:rowOff>127000</xdr:rowOff>
                  </from>
                  <to>
                    <xdr:col>6</xdr:col>
                    <xdr:colOff>1130300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delete_input">
                <anchor moveWithCells="1" sizeWithCells="1">
                  <from>
                    <xdr:col>3</xdr:col>
                    <xdr:colOff>304800</xdr:colOff>
                    <xdr:row>3</xdr:row>
                    <xdr:rowOff>177800</xdr:rowOff>
                  </from>
                  <to>
                    <xdr:col>3</xdr:col>
                    <xdr:colOff>1600200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5" name="Button 20">
              <controlPr defaultSize="0" print="0" autoFill="0" autoPict="0" macro="[0]!BSM.delete_result">
                <anchor moveWithCells="1" sizeWithCells="1">
                  <from>
                    <xdr:col>7</xdr:col>
                    <xdr:colOff>139700</xdr:colOff>
                    <xdr:row>11</xdr:row>
                    <xdr:rowOff>127000</xdr:rowOff>
                  </from>
                  <to>
                    <xdr:col>9</xdr:col>
                    <xdr:colOff>622300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CA99-1784-C343-BC71-2805864FF6DE}">
  <sheetPr codeName="Feuil2">
    <tabColor rgb="FFFFFF00"/>
  </sheetPr>
  <dimension ref="B1:K29"/>
  <sheetViews>
    <sheetView zoomScaleNormal="100" workbookViewId="0">
      <selection activeCell="I7" sqref="I7"/>
    </sheetView>
  </sheetViews>
  <sheetFormatPr baseColWidth="10" defaultRowHeight="16" x14ac:dyDescent="0.2"/>
  <cols>
    <col min="1" max="2" width="10.83203125" style="49"/>
    <col min="3" max="3" width="21.1640625" style="49" bestFit="1" customWidth="1"/>
    <col min="4" max="4" width="19.6640625" style="49" customWidth="1"/>
    <col min="5" max="8" width="10.83203125" style="49"/>
    <col min="9" max="9" width="12.5" style="49" bestFit="1" customWidth="1"/>
    <col min="10" max="16384" width="10.83203125" style="49"/>
  </cols>
  <sheetData>
    <row r="1" spans="2:11" x14ac:dyDescent="0.2">
      <c r="B1" s="69"/>
      <c r="C1" s="70"/>
      <c r="D1" s="70"/>
      <c r="E1" s="70"/>
      <c r="F1" s="70"/>
      <c r="G1" s="70"/>
      <c r="H1" s="70"/>
      <c r="I1" s="70"/>
      <c r="J1" s="70"/>
      <c r="K1" s="71"/>
    </row>
    <row r="2" spans="2:11" x14ac:dyDescent="0.2">
      <c r="B2" s="37"/>
      <c r="C2" s="38"/>
      <c r="D2" s="38"/>
      <c r="E2" s="38"/>
      <c r="F2" s="38"/>
      <c r="G2" s="38"/>
      <c r="H2" s="38"/>
      <c r="I2" s="38"/>
      <c r="J2" s="38"/>
      <c r="K2" s="39"/>
    </row>
    <row r="3" spans="2:11" ht="17" thickBot="1" x14ac:dyDescent="0.25">
      <c r="B3" s="37"/>
      <c r="C3" s="38"/>
      <c r="D3" s="38"/>
      <c r="E3" s="38"/>
      <c r="F3" s="38"/>
      <c r="G3" s="38"/>
      <c r="H3" s="38"/>
      <c r="I3" s="38"/>
      <c r="J3" s="38"/>
      <c r="K3" s="39"/>
    </row>
    <row r="4" spans="2:11" ht="19" x14ac:dyDescent="0.2">
      <c r="B4" s="37"/>
      <c r="C4" s="7" t="s">
        <v>0</v>
      </c>
      <c r="D4" s="14">
        <v>230</v>
      </c>
      <c r="E4" s="38"/>
      <c r="F4" s="38"/>
      <c r="G4" s="38"/>
      <c r="H4" s="62" t="s">
        <v>33</v>
      </c>
      <c r="I4" s="63" t="s">
        <v>31</v>
      </c>
      <c r="J4" s="64" t="s">
        <v>32</v>
      </c>
      <c r="K4" s="39"/>
    </row>
    <row r="5" spans="2:11" ht="19" x14ac:dyDescent="0.2">
      <c r="B5" s="37"/>
      <c r="C5" s="8" t="s">
        <v>1</v>
      </c>
      <c r="D5" s="14">
        <v>234</v>
      </c>
      <c r="E5" s="38"/>
      <c r="F5" s="38"/>
      <c r="G5" s="38"/>
      <c r="H5" s="65">
        <v>5</v>
      </c>
      <c r="I5" s="61">
        <v>27.920317009779914</v>
      </c>
      <c r="J5" s="66">
        <v>24.624020188599005</v>
      </c>
      <c r="K5" s="39"/>
    </row>
    <row r="6" spans="2:11" ht="19" x14ac:dyDescent="0.2">
      <c r="B6" s="37"/>
      <c r="C6" s="8" t="s">
        <v>2</v>
      </c>
      <c r="D6" s="12">
        <v>44128</v>
      </c>
      <c r="E6" s="38"/>
      <c r="F6" s="38"/>
      <c r="G6" s="38"/>
      <c r="H6" s="65">
        <v>10</v>
      </c>
      <c r="I6" s="61">
        <v>26.854876301954505</v>
      </c>
      <c r="J6" s="66">
        <v>24.624020188599005</v>
      </c>
      <c r="K6" s="39"/>
    </row>
    <row r="7" spans="2:11" ht="19" x14ac:dyDescent="0.2">
      <c r="B7" s="37"/>
      <c r="C7" s="8" t="s">
        <v>4</v>
      </c>
      <c r="D7" s="13">
        <v>0.25</v>
      </c>
      <c r="E7" s="38"/>
      <c r="F7" s="38"/>
      <c r="G7" s="38"/>
      <c r="H7" s="65">
        <v>15</v>
      </c>
      <c r="I7" s="61">
        <v>27.187469149344459</v>
      </c>
      <c r="J7" s="66">
        <v>24.624020188599005</v>
      </c>
      <c r="K7" s="39"/>
    </row>
    <row r="8" spans="2:11" ht="19" x14ac:dyDescent="0.2">
      <c r="B8" s="37"/>
      <c r="C8" s="8" t="s">
        <v>5</v>
      </c>
      <c r="D8" s="13">
        <v>0.04</v>
      </c>
      <c r="E8" s="38"/>
      <c r="F8" s="38"/>
      <c r="G8" s="38"/>
      <c r="H8" s="65">
        <v>20</v>
      </c>
      <c r="I8" s="61">
        <v>26.943753352354506</v>
      </c>
      <c r="J8" s="66">
        <v>24.624020188599005</v>
      </c>
      <c r="K8" s="39"/>
    </row>
    <row r="9" spans="2:11" ht="19" x14ac:dyDescent="0.2">
      <c r="B9" s="37"/>
      <c r="C9" s="8" t="s">
        <v>6</v>
      </c>
      <c r="D9" s="60" t="s">
        <v>10</v>
      </c>
      <c r="E9" s="38"/>
      <c r="F9" s="38"/>
      <c r="G9" s="38"/>
      <c r="H9" s="65">
        <f t="shared" ref="H9:H13" si="0">H8+5</f>
        <v>25</v>
      </c>
      <c r="I9" s="61">
        <v>27.072546175005982</v>
      </c>
      <c r="J9" s="66">
        <v>24.624020188599005</v>
      </c>
      <c r="K9" s="39"/>
    </row>
    <row r="10" spans="2:11" ht="20" thickBot="1" x14ac:dyDescent="0.25">
      <c r="B10" s="37"/>
      <c r="C10" s="8" t="s">
        <v>7</v>
      </c>
      <c r="D10" s="11" t="s">
        <v>28</v>
      </c>
      <c r="E10" s="38"/>
      <c r="F10" s="38"/>
      <c r="G10" s="38"/>
      <c r="H10" s="65">
        <f t="shared" si="0"/>
        <v>30</v>
      </c>
      <c r="I10" s="61">
        <v>26.954833104231074</v>
      </c>
      <c r="J10" s="66">
        <v>24.624020188599005</v>
      </c>
      <c r="K10" s="39"/>
    </row>
    <row r="11" spans="2:11" ht="19" x14ac:dyDescent="0.2">
      <c r="B11" s="37"/>
      <c r="C11" s="38"/>
      <c r="D11" s="38"/>
      <c r="E11" s="38"/>
      <c r="F11" s="38"/>
      <c r="G11" s="38"/>
      <c r="H11" s="65">
        <f t="shared" si="0"/>
        <v>35</v>
      </c>
      <c r="I11" s="61">
        <v>27.019103143721235</v>
      </c>
      <c r="J11" s="66">
        <v>24.624020188599005</v>
      </c>
      <c r="K11" s="39"/>
    </row>
    <row r="12" spans="2:11" ht="19" x14ac:dyDescent="0.2">
      <c r="B12" s="37"/>
      <c r="C12" s="38"/>
      <c r="D12" s="38"/>
      <c r="E12" s="38"/>
      <c r="F12" s="38"/>
      <c r="G12" s="38"/>
      <c r="H12" s="65">
        <f t="shared" si="0"/>
        <v>40</v>
      </c>
      <c r="I12" s="61">
        <v>26.955805241262063</v>
      </c>
      <c r="J12" s="66">
        <v>24.624020188599005</v>
      </c>
      <c r="K12" s="39"/>
    </row>
    <row r="13" spans="2:11" ht="19" x14ac:dyDescent="0.2">
      <c r="B13" s="37"/>
      <c r="C13" s="38"/>
      <c r="D13" s="38"/>
      <c r="E13" s="38"/>
      <c r="F13" s="38"/>
      <c r="G13" s="38"/>
      <c r="H13" s="65">
        <f t="shared" si="0"/>
        <v>45</v>
      </c>
      <c r="I13" s="61">
        <v>26.988691429829426</v>
      </c>
      <c r="J13" s="66">
        <v>24.624020188599005</v>
      </c>
      <c r="K13" s="39"/>
    </row>
    <row r="14" spans="2:11" ht="19" x14ac:dyDescent="0.2">
      <c r="B14" s="37"/>
      <c r="C14" s="38"/>
      <c r="D14" s="38"/>
      <c r="E14" s="38"/>
      <c r="F14" s="38"/>
      <c r="G14" s="38"/>
      <c r="H14" s="65">
        <v>50</v>
      </c>
      <c r="I14" s="61">
        <v>26.953559068990785</v>
      </c>
      <c r="J14" s="66">
        <v>24.624020188599005</v>
      </c>
      <c r="K14" s="39"/>
    </row>
    <row r="15" spans="2:11" ht="19" x14ac:dyDescent="0.2">
      <c r="B15" s="37"/>
      <c r="C15" s="38"/>
      <c r="D15" s="38"/>
      <c r="E15" s="38"/>
      <c r="F15" s="38"/>
      <c r="G15" s="38"/>
      <c r="H15" s="65">
        <f>H14+10</f>
        <v>60</v>
      </c>
      <c r="I15" s="61">
        <v>26.950721079291569</v>
      </c>
      <c r="J15" s="66">
        <v>24.624020188599005</v>
      </c>
      <c r="K15" s="39"/>
    </row>
    <row r="16" spans="2:11" ht="19" x14ac:dyDescent="0.2">
      <c r="B16" s="37"/>
      <c r="C16" s="38"/>
      <c r="D16" s="38"/>
      <c r="E16" s="38"/>
      <c r="F16" s="38"/>
      <c r="G16" s="38"/>
      <c r="H16" s="65">
        <f t="shared" ref="H16:H19" si="1">H15+10</f>
        <v>70</v>
      </c>
      <c r="I16" s="61">
        <v>26.951492980646378</v>
      </c>
      <c r="J16" s="66">
        <v>24.624020188599005</v>
      </c>
      <c r="K16" s="39"/>
    </row>
    <row r="17" spans="2:11" ht="19" x14ac:dyDescent="0.2">
      <c r="B17" s="37"/>
      <c r="C17" s="38"/>
      <c r="D17" s="38"/>
      <c r="E17" s="38"/>
      <c r="F17" s="38"/>
      <c r="G17" s="38"/>
      <c r="H17" s="65">
        <f t="shared" si="1"/>
        <v>80</v>
      </c>
      <c r="I17" s="61">
        <v>26.94857410638544</v>
      </c>
      <c r="J17" s="66">
        <v>24.624020188599005</v>
      </c>
      <c r="K17" s="39"/>
    </row>
    <row r="18" spans="2:11" ht="19" x14ac:dyDescent="0.2">
      <c r="B18" s="37"/>
      <c r="C18" s="38"/>
      <c r="D18" s="38"/>
      <c r="E18" s="38"/>
      <c r="F18" s="38"/>
      <c r="G18" s="38"/>
      <c r="H18" s="65">
        <f t="shared" si="1"/>
        <v>90</v>
      </c>
      <c r="I18" s="61">
        <v>26.946094100246015</v>
      </c>
      <c r="J18" s="66">
        <v>24.624020188599005</v>
      </c>
      <c r="K18" s="39"/>
    </row>
    <row r="19" spans="2:11" ht="19" x14ac:dyDescent="0.2">
      <c r="B19" s="37"/>
      <c r="C19" s="38"/>
      <c r="D19" s="38"/>
      <c r="E19" s="38"/>
      <c r="F19" s="38"/>
      <c r="G19" s="38"/>
      <c r="H19" s="65">
        <f t="shared" si="1"/>
        <v>100</v>
      </c>
      <c r="I19" s="61">
        <v>26.94394323720784</v>
      </c>
      <c r="J19" s="66">
        <v>24.624020188599005</v>
      </c>
      <c r="K19" s="39"/>
    </row>
    <row r="20" spans="2:11" ht="19" x14ac:dyDescent="0.2">
      <c r="B20" s="37"/>
      <c r="C20" s="38"/>
      <c r="D20" s="38"/>
      <c r="E20" s="38"/>
      <c r="F20" s="38"/>
      <c r="G20" s="38"/>
      <c r="H20" s="65">
        <f>H19+50</f>
        <v>150</v>
      </c>
      <c r="I20" s="61">
        <v>26.937597262166403</v>
      </c>
      <c r="J20" s="66">
        <v>24.624020188599005</v>
      </c>
      <c r="K20" s="39"/>
    </row>
    <row r="21" spans="2:11" ht="19" x14ac:dyDescent="0.2">
      <c r="B21" s="37"/>
      <c r="C21" s="38"/>
      <c r="D21" s="38"/>
      <c r="E21" s="38"/>
      <c r="F21" s="38"/>
      <c r="G21" s="38"/>
      <c r="H21" s="65">
        <f t="shared" ref="H21:H27" si="2">H20+50</f>
        <v>200</v>
      </c>
      <c r="I21" s="61">
        <v>26.931957200707931</v>
      </c>
      <c r="J21" s="66">
        <v>24.624020188599005</v>
      </c>
      <c r="K21" s="39"/>
    </row>
    <row r="22" spans="2:11" ht="19" x14ac:dyDescent="0.2">
      <c r="B22" s="37"/>
      <c r="C22" s="38"/>
      <c r="D22" s="38"/>
      <c r="E22" s="38"/>
      <c r="F22" s="38"/>
      <c r="G22" s="38"/>
      <c r="H22" s="65">
        <f t="shared" si="2"/>
        <v>250</v>
      </c>
      <c r="I22" s="61">
        <v>26.927593332776336</v>
      </c>
      <c r="J22" s="66">
        <v>24.624020188599005</v>
      </c>
      <c r="K22" s="39"/>
    </row>
    <row r="23" spans="2:11" ht="19" x14ac:dyDescent="0.2">
      <c r="B23" s="37"/>
      <c r="C23" s="38"/>
      <c r="D23" s="38"/>
      <c r="E23" s="38"/>
      <c r="F23" s="38"/>
      <c r="G23" s="38"/>
      <c r="H23" s="65">
        <f t="shared" si="2"/>
        <v>300</v>
      </c>
      <c r="I23" s="61">
        <v>26.924707003788644</v>
      </c>
      <c r="J23" s="66">
        <v>24.624020188599005</v>
      </c>
      <c r="K23" s="39"/>
    </row>
    <row r="24" spans="2:11" ht="19" x14ac:dyDescent="0.2">
      <c r="B24" s="37"/>
      <c r="C24" s="38"/>
      <c r="D24" s="38"/>
      <c r="E24" s="38"/>
      <c r="F24" s="38"/>
      <c r="G24" s="38"/>
      <c r="H24" s="65">
        <f t="shared" si="2"/>
        <v>350</v>
      </c>
      <c r="I24" s="61">
        <v>26.921443415659738</v>
      </c>
      <c r="J24" s="66">
        <v>24.624020188599005</v>
      </c>
      <c r="K24" s="39"/>
    </row>
    <row r="25" spans="2:11" ht="19" x14ac:dyDescent="0.2">
      <c r="B25" s="37"/>
      <c r="C25" s="38"/>
      <c r="D25" s="38"/>
      <c r="E25" s="38"/>
      <c r="F25" s="38"/>
      <c r="G25" s="38"/>
      <c r="H25" s="65">
        <f t="shared" si="2"/>
        <v>400</v>
      </c>
      <c r="I25" s="61">
        <v>26.920150915091593</v>
      </c>
      <c r="J25" s="66">
        <v>24.624020188599005</v>
      </c>
      <c r="K25" s="39"/>
    </row>
    <row r="26" spans="2:11" ht="19" x14ac:dyDescent="0.2">
      <c r="B26" s="37"/>
      <c r="C26" s="38"/>
      <c r="D26" s="38"/>
      <c r="E26" s="38"/>
      <c r="F26" s="38"/>
      <c r="G26" s="38"/>
      <c r="H26" s="65">
        <f t="shared" si="2"/>
        <v>450</v>
      </c>
      <c r="I26" s="61">
        <v>26.917913680320169</v>
      </c>
      <c r="J26" s="66">
        <v>24.624020188599005</v>
      </c>
      <c r="K26" s="39"/>
    </row>
    <row r="27" spans="2:11" ht="20" thickBot="1" x14ac:dyDescent="0.25">
      <c r="B27" s="37"/>
      <c r="C27" s="38"/>
      <c r="D27" s="38"/>
      <c r="E27" s="38"/>
      <c r="F27" s="38"/>
      <c r="G27" s="38"/>
      <c r="H27" s="65">
        <f t="shared" si="2"/>
        <v>500</v>
      </c>
      <c r="I27" s="67">
        <v>26.916929029675234</v>
      </c>
      <c r="J27" s="68">
        <v>24.624020188599005</v>
      </c>
      <c r="K27" s="39"/>
    </row>
    <row r="28" spans="2:11" ht="17" thickBot="1" x14ac:dyDescent="0.25">
      <c r="B28" s="42"/>
      <c r="C28" s="43"/>
      <c r="D28" s="43"/>
      <c r="E28" s="43"/>
      <c r="F28" s="43"/>
      <c r="G28" s="43"/>
      <c r="H28" s="43"/>
      <c r="I28" s="43"/>
      <c r="J28" s="43"/>
      <c r="K28" s="44"/>
    </row>
    <row r="29" spans="2:11" x14ac:dyDescent="0.2">
      <c r="B29" s="55"/>
      <c r="C29" s="55"/>
      <c r="D29" s="55"/>
      <c r="E29" s="55"/>
      <c r="F29" s="55"/>
      <c r="G29" s="55"/>
      <c r="H29" s="55"/>
      <c r="I29" s="55"/>
      <c r="J29" s="55"/>
      <c r="K29" s="55"/>
    </row>
  </sheetData>
  <dataValidations count="2">
    <dataValidation type="date" allowBlank="1" showInputMessage="1" showErrorMessage="1" sqref="D6" xr:uid="{F04DFD60-88BA-8A49-8A1C-4AC2593073F7}">
      <formula1>L1</formula1>
      <formula2>L2</formula2>
    </dataValidation>
    <dataValidation type="list" allowBlank="1" showInputMessage="1" showErrorMessage="1" sqref="D9" xr:uid="{2585F302-F599-F14D-A9A8-7CB02BB9AC1B}">
      <formula1>Call_Put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convergence_BSM_CRR">
                <anchor moveWithCells="1" sizeWithCells="1">
                  <from>
                    <xdr:col>4</xdr:col>
                    <xdr:colOff>635000</xdr:colOff>
                    <xdr:row>3</xdr:row>
                    <xdr:rowOff>63500</xdr:rowOff>
                  </from>
                  <to>
                    <xdr:col>6</xdr:col>
                    <xdr:colOff>508000</xdr:colOff>
                    <xdr:row>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convergence_delete_output">
                <anchor moveWithCells="1" sizeWithCells="1">
                  <from>
                    <xdr:col>5</xdr:col>
                    <xdr:colOff>25400</xdr:colOff>
                    <xdr:row>5</xdr:row>
                    <xdr:rowOff>165100</xdr:rowOff>
                  </from>
                  <to>
                    <xdr:col>6</xdr:col>
                    <xdr:colOff>203200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28620D-4D1B-E141-A72F-139135A7BB66}">
          <x14:formula1>
            <xm:f>'CRR PRICER'!$N$4:$N$5</xm:f>
          </x14:formula1>
          <xm:sqref>D10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CRR PRICER</vt:lpstr>
      <vt:lpstr>CRR TREE</vt:lpstr>
      <vt:lpstr>BSM PRICER</vt:lpstr>
      <vt:lpstr>CONVERGENCE</vt:lpstr>
      <vt:lpstr>Call_Put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2018-10-16T08:36:50Z</dcterms:created>
  <dcterms:modified xsi:type="dcterms:W3CDTF">2018-11-06T15:38:50Z</dcterms:modified>
</cp:coreProperties>
</file>